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xtraction" sheetId="1" r:id="rId5"/>
    <sheet state="visible" name="Adapted Table 7 from citet{yuan" sheetId="2" r:id="rId6"/>
  </sheets>
  <definedNames>
    <definedName hidden="1" localSheetId="0" name="_xlnm._FilterDatabase">'Data extraction'!$A$1:$K$33</definedName>
  </definedNames>
  <calcPr/>
</workbook>
</file>

<file path=xl/sharedStrings.xml><?xml version="1.0" encoding="utf-8"?>
<sst xmlns="http://schemas.openxmlformats.org/spreadsheetml/2006/main" count="232" uniqueCount="151">
  <si>
    <t>Reference</t>
  </si>
  <si>
    <t>Type</t>
  </si>
  <si>
    <t>Year</t>
  </si>
  <si>
    <t>Title</t>
  </si>
  <si>
    <t>Venue</t>
  </si>
  <si>
    <t>#Datasets</t>
  </si>
  <si>
    <t>#Baselines</t>
  </si>
  <si>
    <t>#NewMethods</t>
  </si>
  <si>
    <t>WinRate</t>
  </si>
  <si>
    <t>SuccessRate</t>
  </si>
  <si>
    <t>Notes</t>
  </si>
  <si>
    <t>\citet{battiti_using_1994}</t>
  </si>
  <si>
    <t>J</t>
  </si>
  <si>
    <t>Using Mutual Information for Selecting Features in Supervised Neural Net Learning</t>
  </si>
  <si>
    <t>IEEE Transactions on Neural Networks [and Learning Systems]</t>
  </si>
  <si>
    <t>-</t>
  </si>
  <si>
    <t>- 1st mRMR (MIFS) - 1 hyperparameter beta - 3 datasets included but 2 reported.</t>
  </si>
  <si>
    <t>\citet{kwak_input_2002}</t>
  </si>
  <si>
    <t>Input feature selection for classification problems</t>
  </si>
  <si>
    <t xml:space="preserve">- Not Outperform all competitions? - MIFS included - 6 datasets included but 2 reported - </t>
  </si>
  <si>
    <t>\citet{peng_feature_2005}</t>
  </si>
  <si>
    <t>Feature selection based on mutual information criteria of max-dependency, max-relevance, and min-redundancy</t>
  </si>
  <si>
    <t>IEEE Transactions on Pattern Analysis and Machine Intelligence</t>
  </si>
  <si>
    <t>- Include NCI[9] dataset - Hybrid with Forward and Backward wrappers - 3 classifiers [Naive Bayes (NB), Support Vector Machine (LinearSVM), and Linear Discrimant Analysis (LDA)] - k in {1, 5, 10, 15, 20, 25, 30, 35, 40, 45, 50}</t>
  </si>
  <si>
    <t>\citet{ding_minimum_2005}</t>
  </si>
  <si>
    <t>MINIMUM REDUNDANCY FEATURE SELECTION FROM MICROARRAY GENE EXPRESSION DATA</t>
  </si>
  <si>
    <t>Journal of Bioinformatics and Computational Biology</t>
  </si>
  <si>
    <t>- Include NCI[9] - Introduced mRMR_MID, mRMR_MIQ, mRMR_FCD, mRMR_FCQ - 4 classifiers - The Quotient formulation outperform the Difference one - Baseline are MI and F-value using KBest - Both formulation of mRMR (original study)</t>
  </si>
  <si>
    <t>\citet{lin_conditional_2006}</t>
  </si>
  <si>
    <t>C</t>
  </si>
  <si>
    <t>Conditional Infomax Learning: An Integrated Framework for Feature Extraction and Fusion</t>
  </si>
  <si>
    <t>9th European Conference on Computer Vision</t>
  </si>
  <si>
    <t xml:space="preserve"> \citet{mandal_improved_2013}</t>
  </si>
  <si>
    <t>An Improved Minimum Redundancy Maximum Relevance Approach for Feature Selection in Gene Expression Data</t>
  </si>
  <si>
    <t>Procedia Technology</t>
  </si>
  <si>
    <t>- Both formulations of mRMR with MI as baselines - Conference??</t>
  </si>
  <si>
    <t>\citet{yang_minimal-redundancy-maximal-relevance_2013}</t>
  </si>
  <si>
    <t>Minimal-redundancy-maximal-relevance feature selection using different relevance measures for omics data classification</t>
  </si>
  <si>
    <t>IEEE Symposium on Computational Intelligence in Bioinformatics and Computational Biology (CIBCB)</t>
  </si>
  <si>
    <t>- 3 rel. est. with k in {20,40,60, 80, 100, All feat.} - Include running time - used mutual information (MI), correlation coefficient (CC), and maximal information coefficient (MIC) as Rel and Red estimators - 2 new vs 1 - 2 classifiers (KNN, LinearSVM) - 20% and 80% Winrate for LinearSVM and KNN, respectively - Not entire sure if this new a benchmark or newly proposed</t>
  </si>
  <si>
    <t>\citet{zhang_compact_2014}</t>
  </si>
  <si>
    <t>Compact Representation for Image Classification: To Choose or to Compress?</t>
  </si>
  <si>
    <t>IEEE Conference on Computer Vision and Pattern Recognition</t>
  </si>
  <si>
    <t xml:space="preserve">- Introduced 2 baselines but used one of them only on 1 dataset (the 2nd baseline does outperform the 1st on that dataset) - reported 3 different perf. metrics (mAP on 1 dataset, top-5 Accuracy on 1 dataset, and top-1 accuracy on 2 datasets) - </t>
  </si>
  <si>
    <t>\citet{bennasar_feature_2015}</t>
  </si>
  <si>
    <t>Feature selection using Joint Mutual Information Maximisation</t>
  </si>
  <si>
    <t>Expert Systems with Applications</t>
  </si>
  <si>
    <t>- 2 FS methods - Information theory-based baselines (MI and SU?)</t>
  </si>
  <si>
    <t>\citet{berrendero_mrmr_2016}</t>
  </si>
  <si>
    <t>The mRMR variable selection method: a comparative study for functional data</t>
  </si>
  <si>
    <t>Journal of Statistical Computation and Simulation</t>
  </si>
  <si>
    <t>- Study the  mRMR_D for different relevance estimators - 4 classifiers (KNN, LinearSVM, NB, LDA) - 2 new variants of mRMR (Distance covariance and Distance correlation as Rel and Red est.) - 2 new vs 3 competitors?  n (num samples) in {30, 50, 100, 200} X 100 functional data generation - Extensive similation using Synthetic data.</t>
  </si>
  <si>
    <t xml:space="preserve"> \citet{dubey_cosine-similarity_2017}</t>
  </si>
  <si>
    <t>A Cosine-Similarity Mutual-Information Approach for Feature Selection on High Dimensional Datasets</t>
  </si>
  <si>
    <t>Journal of Information Technology Research</t>
  </si>
  <si>
    <t xml:space="preserve">- KBest with IG/MI </t>
  </si>
  <si>
    <t>\citet{senawi_new_2017}</t>
  </si>
  <si>
    <t>A new maximum relevance-minimum multicollinearity (MRmMC) method for feature selection and ranking</t>
  </si>
  <si>
    <t>Pattern Recognition</t>
  </si>
  <si>
    <t>- 1 variant formulation of mRMR - mRMR and MIFS baselines</t>
  </si>
  <si>
    <t>\citet{ramirez-gallego_fast-mrmr_2017}</t>
  </si>
  <si>
    <t>Fast-mRMR: Fast Minimum Redundancy Maximum Relevance Algorithm for High-Dimensional Big Data</t>
  </si>
  <si>
    <t>International Journal of Intelligent Systems</t>
  </si>
  <si>
    <t>- Include NCI[9] dataset - 5 datasets + 3 additional - the contribution is on computtational efficiency not predictive performance</t>
  </si>
  <si>
    <t>\citet{che_maximum_2017}</t>
  </si>
  <si>
    <t>Maximum relevance minimum common redundancy feature selection for nonlinear data</t>
  </si>
  <si>
    <t>Information Sciences</t>
  </si>
  <si>
    <t>- Include running time - k in {2,3,...,60} - 2 classifiers (KNN, LinearSVM) - 5CV classification accuracy - Proposed a variant of mRMR - Information theory-based baselines (MI)</t>
  </si>
  <si>
    <t>\citet{radovic_minimum_2017}</t>
  </si>
  <si>
    <t>Minimum redundancy maximum relevance feature selection approach for temporal gene expression data</t>
  </si>
  <si>
    <t>BMC Bioinformatics</t>
  </si>
  <si>
    <t xml:space="preserve">- k in {1,10,20,30,40,50} - Time series analysis - 3 classifiers (NB, KNN, LinearSVM); KNN and LinearSVM finetuned - two new extensions of mRMR_Q for temporal data using F-value for temporal relevance and distance matrix for redundancy - Include mRMR_MIQ as competitor - Include running time in Big-O notation </t>
  </si>
  <si>
    <t>\citet{jo_improved_2019}</t>
  </si>
  <si>
    <t>Improved Measures of Redundancy and Relevance for mRMR Feature Selection</t>
  </si>
  <si>
    <t>Computers</t>
  </si>
  <si>
    <t>- 4 classifiers (KNN, LinearSVM, DT, RF) - k in {5, 10, 15, 20, 25} - Both formulations MID and MIQ (same with the new one) - Propose a new variation of mRMR with R-value and Pearson correlation</t>
  </si>
  <si>
    <t>\citet{zhao_maximum_2019}</t>
  </si>
  <si>
    <t>Maximum Relevance and Minimum Redundancy Feature Selection Methods for a Marketing Machine Learning Platform</t>
  </si>
  <si>
    <t>IEEE International Conference on Data Science and Advanced Analytics (DSAA)</t>
  </si>
  <si>
    <t>- 3 new extensions of mRMR (FRQ, RFCQ, RFRQ) compared to 5 competitions including 4 existing extensions of mRMR and RF- k in {2,3,..,30} + all features - Include running time - 3 classifiers (NB, LR, RF) - Both formulations of mRMR</t>
  </si>
  <si>
    <t>\citet{bugata_aspects_2019}</t>
  </si>
  <si>
    <t>On some aspects of minimum redundancy maximum relevance feature selection</t>
  </si>
  <si>
    <t>Science China Information Sciences</t>
  </si>
  <si>
    <t>- Ablation study of mRMR - Benchmark</t>
  </si>
  <si>
    <t>\citet{li_new_2020}</t>
  </si>
  <si>
    <t>A new feature selection algorithm based on relevance, redundancy and complementarity</t>
  </si>
  <si>
    <t>Computers in Biology and Medicine</t>
  </si>
  <si>
    <t>- Include running time in Big-O notation - 1 variant formulation of mRMR - SVM-RFE (wrappers) + 10 filter baselines.</t>
  </si>
  <si>
    <t>\citet{zhang_feature_2020}</t>
  </si>
  <si>
    <t>Feature selection considering Uncertainty Change Ratio of the class label</t>
  </si>
  <si>
    <t>Applied Soft Computing</t>
  </si>
  <si>
    <t>- Include running time - mRMR_MID - MI based baselines</t>
  </si>
  <si>
    <t>\citet{huang_multilabel_2020}</t>
  </si>
  <si>
    <t>Multilabel Feature Selection Using Relief and Minimum Redundancy Maximum Relevance Based on Neighborhood Rough Sets</t>
  </si>
  <si>
    <t>IEEE Access</t>
  </si>
  <si>
    <t>- 13 datasets but 9 reported (on average). - Multilabel FS using Relieff+mRMR - include runtime - Highest Winrate using error rate is  77.78</t>
  </si>
  <si>
    <t>\citet{zhang_conditional-weight_2021}</t>
  </si>
  <si>
    <t>A conditional-weight joint relevance metric for feature relevancy term</t>
  </si>
  <si>
    <t>Engineering Applications of Artificial Intelligence</t>
  </si>
  <si>
    <t>- mRMR_MID - Only MI and SU-based baselines.</t>
  </si>
  <si>
    <t>\citet{bommert_benchmark_2022}</t>
  </si>
  <si>
    <t>Benchmark of filter methods for feature selection in high-dimensional gene expression survival data</t>
  </si>
  <si>
    <t>Briefings in Bioinformatics</t>
  </si>
  <si>
    <t>- 1 variant formulation of mRMR - zero because does not propose an new methods but rather perform benchmark of existing ones.</t>
  </si>
  <si>
    <t>\citet{yuan_cscim_fs_2023}</t>
  </si>
  <si>
    <t>CSCIM_FS: Cosine similarity coefficient and information measurement criterion-based feature selection method for high-dimensional data</t>
  </si>
  <si>
    <t>Neurocomputing</t>
  </si>
  <si>
    <t>- 12 datasets but 10 reported - Both formulation of mRMR using MI</t>
  </si>
  <si>
    <t>\citet{wang_feature_2023}</t>
  </si>
  <si>
    <t>Feature Selection With Maximal Relevance and Minimal Supervised Redundancy</t>
  </si>
  <si>
    <t>IEEE Transactions on Cybernetics</t>
  </si>
  <si>
    <t>- Information theory-based baselines - extension of mRMR_D</t>
  </si>
  <si>
    <t>\citet{yuan_feature_2024}</t>
  </si>
  <si>
    <t>Feature Selection Based on Intrusive Outliers Rather Than All Instances</t>
  </si>
  <si>
    <t>IEEE Transactions on Image Processing</t>
  </si>
  <si>
    <t>- no variants formulation of mRMR but its extension MRMSR - Include NCI[9] - Include running time - 8 datasets +  3 additional? - 62.25 using fig.5 (unsure about Carcinom dataset so point to IOFS) but IOFS is more stable  for varying k as shown in Table III - 1 classifier LinearSVM only with 5CV</t>
  </si>
  <si>
    <t>\citet{ihianle_minimising_2024}</t>
  </si>
  <si>
    <t>Minimising redundancy, maximising relevance: HRV feature selection for stress classification</t>
  </si>
  <si>
    <t>- many rel. est. with k in {10,15,20, All feat.} - 3 classifers (KNN, RF, LDA) - Proposed Distance correlation and MIC as Red est. with F-value for mRMR_D &amp; mRMR_Q - 4  baselines FCQ, FCD, FScore (FS) and Mutual Information (MI) vs 4 new - Both formulations of mRMR</t>
  </si>
  <si>
    <t>\citet{yuan_feature_2025}</t>
  </si>
  <si>
    <t>Feature selection method based on wavelet similarity combined with maximum information coefficient</t>
  </si>
  <si>
    <t>- 13 datasets but 9 reported - MI and SU (symmetric uncertainty=MI and H) based baselines - Both formulations of mRMR using MI</t>
  </si>
  <si>
    <t>Average (overall)</t>
  </si>
  <si>
    <t>Average (1990s and 2000s)</t>
  </si>
  <si>
    <t>Average (2010s)</t>
  </si>
  <si>
    <t>Average (2020s)</t>
  </si>
  <si>
    <t>Dataset</t>
  </si>
  <si>
    <t>Accuracy</t>
  </si>
  <si>
    <t>#SelectedFeatures</t>
  </si>
  <si>
    <t>IOFS/E-IOFS (#SelectedFeatures)</t>
  </si>
  <si>
    <t>CLL_SUB_111</t>
  </si>
  <si>
    <t>73.87 (200)</t>
  </si>
  <si>
    <t>Carcinom</t>
  </si>
  <si>
    <t>97.13 (300)</t>
  </si>
  <si>
    <t>ORL</t>
  </si>
  <si>
    <t>96.25 (250)</t>
  </si>
  <si>
    <t>Yale</t>
  </si>
  <si>
    <t>76.36 (150)</t>
  </si>
  <si>
    <t>gisette</t>
  </si>
  <si>
    <t>80.39 (300)</t>
  </si>
  <si>
    <t>lung</t>
  </si>
  <si>
    <t>96.55 (250)</t>
  </si>
  <si>
    <t>lymphoma</t>
  </si>
  <si>
    <t>92.71 (150)</t>
  </si>
  <si>
    <t>nci9</t>
  </si>
  <si>
    <t>58.33 (200)</t>
  </si>
  <si>
    <t>Avg (across datasets)</t>
  </si>
  <si>
    <t>Avg (excluding nci9)</t>
  </si>
  <si>
    <t>Avg (excluding the bottom three)</t>
  </si>
  <si>
    <t xml:space="preserve">\Delta Avg (across datasets) </t>
  </si>
  <si>
    <t>\Delta  Avg (across datasets)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</si>
</sst>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" numFmtId="4" xfId="0" applyFont="1" applyNumberFormat="1"/>
    <xf borderId="0" fillId="0" fontId="1" numFmtId="3" xfId="0" applyFont="1" applyNumberFormat="1"/>
    <xf borderId="0" fillId="0" fontId="5" numFmtId="4" xfId="0" applyAlignment="1" applyFont="1" applyNumberFormat="1">
      <alignment vertical="bottom"/>
    </xf>
    <xf borderId="0" fillId="0" fontId="1" numFmtId="4" xfId="0" applyAlignment="1" applyFont="1" applyNumberFormat="1">
      <alignment readingOrder="0"/>
    </xf>
    <xf borderId="0" fillId="0" fontId="5" numFmtId="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9.63"/>
    <col customWidth="1" min="2" max="2" width="4.63"/>
    <col customWidth="1" min="3" max="3" width="6.0"/>
    <col customWidth="1" min="4" max="4" width="55.63"/>
    <col customWidth="1" min="5" max="5" width="35.5"/>
    <col customWidth="1" min="6" max="6" width="8.13"/>
    <col customWidth="1" min="7" max="7" width="8.63"/>
    <col customWidth="1" min="8" max="9" width="8.38"/>
    <col customWidth="1" min="10" max="10" width="8.75"/>
    <col customWidth="1" min="11" max="11" width="4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</row>
    <row r="2">
      <c r="A2" s="1" t="s">
        <v>11</v>
      </c>
      <c r="B2" s="1" t="s">
        <v>12</v>
      </c>
      <c r="C2" s="1">
        <v>1994.0</v>
      </c>
      <c r="D2" s="2" t="s">
        <v>13</v>
      </c>
      <c r="E2" s="2" t="s">
        <v>14</v>
      </c>
      <c r="F2" s="1">
        <v>2.0</v>
      </c>
      <c r="G2" s="1">
        <v>2.0</v>
      </c>
      <c r="H2" s="1">
        <v>1.0</v>
      </c>
      <c r="I2" s="1">
        <v>100.0</v>
      </c>
      <c r="J2" s="1" t="s">
        <v>15</v>
      </c>
      <c r="K2" s="1" t="s">
        <v>16</v>
      </c>
    </row>
    <row r="3">
      <c r="A3" s="1" t="s">
        <v>17</v>
      </c>
      <c r="B3" s="1" t="s">
        <v>12</v>
      </c>
      <c r="C3" s="1">
        <v>2002.0</v>
      </c>
      <c r="D3" s="2" t="s">
        <v>18</v>
      </c>
      <c r="E3" s="2" t="s">
        <v>14</v>
      </c>
      <c r="F3" s="1">
        <v>2.0</v>
      </c>
      <c r="G3" s="1">
        <v>4.0</v>
      </c>
      <c r="H3" s="1">
        <v>2.0</v>
      </c>
      <c r="I3" s="1">
        <v>100.0</v>
      </c>
      <c r="J3" s="1">
        <v>50.0</v>
      </c>
      <c r="K3" s="1" t="s">
        <v>19</v>
      </c>
    </row>
    <row r="4">
      <c r="A4" s="1" t="s">
        <v>20</v>
      </c>
      <c r="B4" s="1" t="s">
        <v>12</v>
      </c>
      <c r="C4" s="1">
        <v>2005.0</v>
      </c>
      <c r="D4" s="2" t="s">
        <v>21</v>
      </c>
      <c r="E4" s="2" t="s">
        <v>22</v>
      </c>
      <c r="F4" s="1">
        <v>4.0</v>
      </c>
      <c r="G4" s="1">
        <v>1.0</v>
      </c>
      <c r="H4" s="1">
        <v>1.0</v>
      </c>
      <c r="I4" s="1">
        <v>100.0</v>
      </c>
      <c r="J4" s="1" t="s">
        <v>15</v>
      </c>
      <c r="K4" s="1" t="s">
        <v>23</v>
      </c>
    </row>
    <row r="5">
      <c r="A5" s="1" t="s">
        <v>24</v>
      </c>
      <c r="B5" s="1" t="s">
        <v>12</v>
      </c>
      <c r="C5" s="1">
        <v>2005.0</v>
      </c>
      <c r="D5" s="2" t="s">
        <v>25</v>
      </c>
      <c r="E5" s="2" t="s">
        <v>26</v>
      </c>
      <c r="F5" s="1">
        <v>6.0</v>
      </c>
      <c r="G5" s="1">
        <v>2.0</v>
      </c>
      <c r="H5" s="1">
        <v>4.0</v>
      </c>
      <c r="I5" s="1">
        <v>100.0</v>
      </c>
      <c r="J5" s="1" t="s">
        <v>15</v>
      </c>
      <c r="K5" s="1" t="s">
        <v>27</v>
      </c>
    </row>
    <row r="6">
      <c r="A6" s="1" t="s">
        <v>28</v>
      </c>
      <c r="B6" s="1" t="s">
        <v>29</v>
      </c>
      <c r="C6" s="1">
        <v>2006.0</v>
      </c>
      <c r="D6" s="2" t="s">
        <v>30</v>
      </c>
      <c r="E6" s="2" t="s">
        <v>31</v>
      </c>
      <c r="F6" s="1">
        <v>3.0</v>
      </c>
      <c r="G6" s="1">
        <v>4.0</v>
      </c>
      <c r="H6" s="1">
        <v>2.0</v>
      </c>
      <c r="I6" s="1">
        <v>100.0</v>
      </c>
      <c r="J6" s="1" t="s">
        <v>15</v>
      </c>
    </row>
    <row r="7">
      <c r="A7" s="1" t="s">
        <v>32</v>
      </c>
      <c r="B7" s="1" t="s">
        <v>12</v>
      </c>
      <c r="C7" s="1">
        <v>2013.0</v>
      </c>
      <c r="D7" s="2" t="s">
        <v>33</v>
      </c>
      <c r="E7" s="2" t="s">
        <v>34</v>
      </c>
      <c r="F7" s="1">
        <v>4.0</v>
      </c>
      <c r="G7" s="1">
        <v>2.0</v>
      </c>
      <c r="H7" s="1">
        <v>1.0</v>
      </c>
      <c r="I7" s="1">
        <v>100.0</v>
      </c>
      <c r="J7" s="1" t="s">
        <v>15</v>
      </c>
      <c r="K7" s="1" t="s">
        <v>35</v>
      </c>
    </row>
    <row r="8">
      <c r="A8" s="1" t="s">
        <v>36</v>
      </c>
      <c r="B8" s="1" t="s">
        <v>29</v>
      </c>
      <c r="C8" s="1">
        <v>2013.0</v>
      </c>
      <c r="D8" s="2" t="s">
        <v>37</v>
      </c>
      <c r="E8" s="2" t="s">
        <v>38</v>
      </c>
      <c r="F8" s="1">
        <v>5.0</v>
      </c>
      <c r="G8" s="1">
        <v>1.0</v>
      </c>
      <c r="H8" s="1">
        <v>2.0</v>
      </c>
      <c r="I8" s="1">
        <v>80.0</v>
      </c>
      <c r="J8" s="1">
        <v>100.0</v>
      </c>
      <c r="K8" s="1" t="s">
        <v>39</v>
      </c>
    </row>
    <row r="9">
      <c r="A9" s="1" t="s">
        <v>40</v>
      </c>
      <c r="B9" s="1" t="s">
        <v>29</v>
      </c>
      <c r="C9" s="1">
        <v>2014.0</v>
      </c>
      <c r="D9" s="2" t="s">
        <v>41</v>
      </c>
      <c r="E9" s="2" t="s">
        <v>42</v>
      </c>
      <c r="F9" s="1">
        <v>4.0</v>
      </c>
      <c r="G9" s="1">
        <v>2.0</v>
      </c>
      <c r="H9" s="1">
        <v>1.0</v>
      </c>
      <c r="I9" s="1">
        <v>50.0</v>
      </c>
      <c r="J9" s="1" t="s">
        <v>15</v>
      </c>
      <c r="K9" s="1" t="s">
        <v>43</v>
      </c>
    </row>
    <row r="10">
      <c r="A10" s="1" t="s">
        <v>44</v>
      </c>
      <c r="B10" s="1" t="s">
        <v>12</v>
      </c>
      <c r="C10" s="1">
        <v>2015.0</v>
      </c>
      <c r="D10" s="2" t="s">
        <v>45</v>
      </c>
      <c r="E10" s="2" t="s">
        <v>46</v>
      </c>
      <c r="F10" s="1">
        <v>11.0</v>
      </c>
      <c r="G10" s="1">
        <v>5.0</v>
      </c>
      <c r="H10" s="1">
        <v>2.0</v>
      </c>
      <c r="I10" s="1">
        <v>63.6</v>
      </c>
      <c r="J10" s="1" t="s">
        <v>15</v>
      </c>
      <c r="K10" s="1" t="s">
        <v>47</v>
      </c>
    </row>
    <row r="11">
      <c r="A11" s="1" t="s">
        <v>48</v>
      </c>
      <c r="B11" s="1" t="s">
        <v>12</v>
      </c>
      <c r="C11" s="1">
        <v>2016.0</v>
      </c>
      <c r="D11" s="2" t="s">
        <v>49</v>
      </c>
      <c r="E11" s="2" t="s">
        <v>50</v>
      </c>
      <c r="F11" s="1" t="s">
        <v>15</v>
      </c>
      <c r="G11" s="1">
        <v>3.0</v>
      </c>
      <c r="H11" s="1">
        <v>2.0</v>
      </c>
      <c r="I11" s="1">
        <v>100.0</v>
      </c>
      <c r="J11" s="1">
        <v>100.0</v>
      </c>
      <c r="K11" s="1" t="s">
        <v>51</v>
      </c>
    </row>
    <row r="12">
      <c r="A12" s="1" t="s">
        <v>52</v>
      </c>
      <c r="B12" s="1" t="s">
        <v>12</v>
      </c>
      <c r="C12" s="1">
        <v>2017.0</v>
      </c>
      <c r="D12" s="2" t="s">
        <v>53</v>
      </c>
      <c r="E12" s="2" t="s">
        <v>54</v>
      </c>
      <c r="F12" s="1">
        <v>18.0</v>
      </c>
      <c r="G12" s="1">
        <v>1.0</v>
      </c>
      <c r="H12" s="1">
        <v>1.0</v>
      </c>
      <c r="I12" s="1">
        <v>72.2</v>
      </c>
      <c r="J12" s="1" t="s">
        <v>15</v>
      </c>
      <c r="K12" s="1" t="s">
        <v>55</v>
      </c>
    </row>
    <row r="13">
      <c r="A13" s="1" t="s">
        <v>56</v>
      </c>
      <c r="B13" s="1" t="s">
        <v>12</v>
      </c>
      <c r="C13" s="1">
        <v>2017.0</v>
      </c>
      <c r="D13" s="2" t="s">
        <v>57</v>
      </c>
      <c r="E13" s="2" t="s">
        <v>58</v>
      </c>
      <c r="F13" s="1">
        <v>8.0</v>
      </c>
      <c r="G13" s="1">
        <v>2.0</v>
      </c>
      <c r="H13" s="1">
        <v>1.0</v>
      </c>
      <c r="I13" s="1">
        <v>50.0</v>
      </c>
      <c r="J13" s="1" t="s">
        <v>15</v>
      </c>
      <c r="K13" s="1" t="s">
        <v>59</v>
      </c>
    </row>
    <row r="14">
      <c r="A14" s="1" t="s">
        <v>60</v>
      </c>
      <c r="B14" s="1" t="s">
        <v>12</v>
      </c>
      <c r="C14" s="1">
        <v>2017.0</v>
      </c>
      <c r="D14" s="2" t="s">
        <v>61</v>
      </c>
      <c r="E14" s="2" t="s">
        <v>62</v>
      </c>
      <c r="F14" s="1">
        <v>5.0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63</v>
      </c>
    </row>
    <row r="15">
      <c r="A15" s="1" t="s">
        <v>64</v>
      </c>
      <c r="B15" s="1" t="s">
        <v>12</v>
      </c>
      <c r="C15" s="1">
        <v>2017.0</v>
      </c>
      <c r="D15" s="2" t="s">
        <v>65</v>
      </c>
      <c r="E15" s="2" t="s">
        <v>66</v>
      </c>
      <c r="F15" s="1">
        <v>4.0</v>
      </c>
      <c r="G15" s="1">
        <v>3.0</v>
      </c>
      <c r="H15" s="1">
        <v>1.0</v>
      </c>
      <c r="I15" s="1">
        <v>50.0</v>
      </c>
      <c r="J15" s="1" t="s">
        <v>15</v>
      </c>
      <c r="K15" s="1" t="s">
        <v>67</v>
      </c>
    </row>
    <row r="16">
      <c r="A16" s="1" t="s">
        <v>68</v>
      </c>
      <c r="B16" s="1" t="s">
        <v>12</v>
      </c>
      <c r="C16" s="1">
        <v>2017.0</v>
      </c>
      <c r="D16" s="2" t="s">
        <v>69</v>
      </c>
      <c r="E16" s="2" t="s">
        <v>70</v>
      </c>
      <c r="F16" s="1">
        <v>3.0</v>
      </c>
      <c r="G16" s="1">
        <v>4.0</v>
      </c>
      <c r="H16" s="1">
        <v>2.0</v>
      </c>
      <c r="I16" s="1">
        <v>100.0</v>
      </c>
      <c r="J16" s="1" t="s">
        <v>15</v>
      </c>
      <c r="K16" s="1" t="s">
        <v>71</v>
      </c>
    </row>
    <row r="17">
      <c r="A17" s="1" t="s">
        <v>72</v>
      </c>
      <c r="B17" s="1" t="s">
        <v>12</v>
      </c>
      <c r="C17" s="1">
        <v>2019.0</v>
      </c>
      <c r="D17" s="2" t="s">
        <v>73</v>
      </c>
      <c r="E17" s="2" t="s">
        <v>74</v>
      </c>
      <c r="F17" s="1">
        <v>10.0</v>
      </c>
      <c r="G17" s="1">
        <v>4.0</v>
      </c>
      <c r="H17" s="1">
        <v>1.0</v>
      </c>
      <c r="I17" s="1">
        <v>100.0</v>
      </c>
      <c r="J17" s="1" t="s">
        <v>15</v>
      </c>
      <c r="K17" s="1" t="s">
        <v>75</v>
      </c>
    </row>
    <row r="18">
      <c r="A18" s="1" t="s">
        <v>76</v>
      </c>
      <c r="B18" s="1" t="s">
        <v>29</v>
      </c>
      <c r="C18" s="1">
        <v>2019.0</v>
      </c>
      <c r="D18" s="2" t="s">
        <v>77</v>
      </c>
      <c r="E18" s="2" t="s">
        <v>78</v>
      </c>
      <c r="F18" s="1">
        <v>3.0</v>
      </c>
      <c r="G18" s="1">
        <v>5.0</v>
      </c>
      <c r="H18" s="1">
        <v>3.0</v>
      </c>
      <c r="I18" s="1">
        <v>66.7</v>
      </c>
      <c r="J18" s="1">
        <v>66.7</v>
      </c>
      <c r="K18" s="1" t="s">
        <v>79</v>
      </c>
    </row>
    <row r="19">
      <c r="A19" s="1" t="s">
        <v>80</v>
      </c>
      <c r="B19" s="1" t="s">
        <v>12</v>
      </c>
      <c r="C19" s="1">
        <v>2019.0</v>
      </c>
      <c r="D19" s="2" t="s">
        <v>81</v>
      </c>
      <c r="E19" s="2" t="s">
        <v>82</v>
      </c>
      <c r="F19" s="1">
        <v>8.0</v>
      </c>
      <c r="G19" s="1" t="s">
        <v>15</v>
      </c>
      <c r="H19" s="1" t="s">
        <v>15</v>
      </c>
      <c r="I19" s="1" t="s">
        <v>15</v>
      </c>
      <c r="J19" s="1" t="s">
        <v>15</v>
      </c>
      <c r="K19" s="1" t="s">
        <v>83</v>
      </c>
    </row>
    <row r="20">
      <c r="A20" s="1" t="s">
        <v>84</v>
      </c>
      <c r="B20" s="1" t="s">
        <v>12</v>
      </c>
      <c r="C20" s="1">
        <v>2020.0</v>
      </c>
      <c r="D20" s="2" t="s">
        <v>85</v>
      </c>
      <c r="E20" s="2" t="s">
        <v>86</v>
      </c>
      <c r="F20" s="1">
        <v>15.0</v>
      </c>
      <c r="G20" s="1">
        <v>11.0</v>
      </c>
      <c r="H20" s="1">
        <v>1.0</v>
      </c>
      <c r="I20" s="1">
        <v>33.3</v>
      </c>
      <c r="J20" s="1" t="s">
        <v>15</v>
      </c>
      <c r="K20" s="1" t="s">
        <v>87</v>
      </c>
    </row>
    <row r="21">
      <c r="A21" s="1" t="s">
        <v>88</v>
      </c>
      <c r="B21" s="1" t="s">
        <v>12</v>
      </c>
      <c r="C21" s="1">
        <v>2020.0</v>
      </c>
      <c r="D21" s="2" t="s">
        <v>89</v>
      </c>
      <c r="E21" s="2" t="s">
        <v>90</v>
      </c>
      <c r="F21" s="1">
        <v>14.0</v>
      </c>
      <c r="G21" s="1">
        <v>7.0</v>
      </c>
      <c r="H21" s="1">
        <v>1.0</v>
      </c>
      <c r="I21" s="1">
        <v>71.4</v>
      </c>
      <c r="J21" s="1" t="s">
        <v>15</v>
      </c>
      <c r="K21" s="1" t="s">
        <v>91</v>
      </c>
    </row>
    <row r="22">
      <c r="A22" s="1" t="s">
        <v>92</v>
      </c>
      <c r="B22" s="1" t="s">
        <v>12</v>
      </c>
      <c r="C22" s="1">
        <v>2020.0</v>
      </c>
      <c r="D22" s="2" t="s">
        <v>93</v>
      </c>
      <c r="E22" s="2" t="s">
        <v>94</v>
      </c>
      <c r="F22" s="1">
        <v>9.0</v>
      </c>
      <c r="G22" s="1">
        <v>7.0</v>
      </c>
      <c r="H22" s="1">
        <v>1.0</v>
      </c>
      <c r="I22" s="1">
        <v>66.7</v>
      </c>
      <c r="J22" s="1" t="s">
        <v>15</v>
      </c>
      <c r="K22" s="1" t="s">
        <v>95</v>
      </c>
    </row>
    <row r="23">
      <c r="A23" s="1" t="s">
        <v>96</v>
      </c>
      <c r="B23" s="1" t="s">
        <v>12</v>
      </c>
      <c r="C23" s="1">
        <v>2021.0</v>
      </c>
      <c r="D23" s="2" t="s">
        <v>97</v>
      </c>
      <c r="E23" s="2" t="s">
        <v>98</v>
      </c>
      <c r="F23" s="1">
        <v>19.0</v>
      </c>
      <c r="G23" s="1">
        <v>7.0</v>
      </c>
      <c r="H23" s="1">
        <v>1.0</v>
      </c>
      <c r="I23" s="1">
        <v>63.2</v>
      </c>
      <c r="J23" s="1">
        <v>57.9</v>
      </c>
      <c r="K23" s="1" t="s">
        <v>99</v>
      </c>
    </row>
    <row r="24">
      <c r="A24" s="1" t="s">
        <v>100</v>
      </c>
      <c r="B24" s="1" t="s">
        <v>12</v>
      </c>
      <c r="C24" s="1">
        <v>2022.0</v>
      </c>
      <c r="D24" s="2" t="s">
        <v>101</v>
      </c>
      <c r="E24" s="2" t="s">
        <v>102</v>
      </c>
      <c r="F24" s="1">
        <v>11.0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103</v>
      </c>
    </row>
    <row r="25">
      <c r="A25" s="1" t="s">
        <v>104</v>
      </c>
      <c r="B25" s="1" t="s">
        <v>12</v>
      </c>
      <c r="C25" s="1">
        <v>2023.0</v>
      </c>
      <c r="D25" s="2" t="s">
        <v>105</v>
      </c>
      <c r="E25" s="2" t="s">
        <v>106</v>
      </c>
      <c r="F25" s="1">
        <v>10.0</v>
      </c>
      <c r="G25" s="1">
        <v>9.0</v>
      </c>
      <c r="H25" s="1">
        <v>1.0</v>
      </c>
      <c r="I25" s="1">
        <v>70.0</v>
      </c>
      <c r="J25" s="1" t="s">
        <v>15</v>
      </c>
      <c r="K25" s="1" t="s">
        <v>107</v>
      </c>
    </row>
    <row r="26">
      <c r="A26" s="1" t="s">
        <v>108</v>
      </c>
      <c r="B26" s="1" t="s">
        <v>12</v>
      </c>
      <c r="C26" s="1">
        <v>2023.0</v>
      </c>
      <c r="D26" s="2" t="s">
        <v>109</v>
      </c>
      <c r="E26" s="2" t="s">
        <v>110</v>
      </c>
      <c r="F26" s="1">
        <v>12.0</v>
      </c>
      <c r="G26" s="1">
        <v>7.0</v>
      </c>
      <c r="H26" s="1">
        <v>1.0</v>
      </c>
      <c r="I26" s="1">
        <v>83.3</v>
      </c>
      <c r="J26" s="1" t="s">
        <v>15</v>
      </c>
      <c r="K26" s="1" t="s">
        <v>111</v>
      </c>
    </row>
    <row r="27">
      <c r="A27" s="1" t="s">
        <v>112</v>
      </c>
      <c r="B27" s="1" t="s">
        <v>12</v>
      </c>
      <c r="C27" s="1">
        <v>2024.0</v>
      </c>
      <c r="D27" s="3" t="s">
        <v>113</v>
      </c>
      <c r="E27" s="2" t="s">
        <v>114</v>
      </c>
      <c r="F27" s="1">
        <v>8.0</v>
      </c>
      <c r="G27" s="1">
        <v>10.0</v>
      </c>
      <c r="H27" s="1">
        <v>2.0</v>
      </c>
      <c r="I27" s="1">
        <v>62.3</v>
      </c>
      <c r="J27" s="1" t="s">
        <v>15</v>
      </c>
      <c r="K27" s="1" t="s">
        <v>115</v>
      </c>
    </row>
    <row r="28">
      <c r="A28" s="1" t="s">
        <v>116</v>
      </c>
      <c r="B28" s="1" t="s">
        <v>12</v>
      </c>
      <c r="C28" s="1">
        <v>2024.0</v>
      </c>
      <c r="D28" s="2" t="s">
        <v>117</v>
      </c>
      <c r="E28" s="2" t="s">
        <v>46</v>
      </c>
      <c r="F28" s="1">
        <v>3.0</v>
      </c>
      <c r="G28" s="1">
        <v>4.0</v>
      </c>
      <c r="H28" s="1">
        <v>4.0</v>
      </c>
      <c r="I28" s="1">
        <v>100.0</v>
      </c>
      <c r="J28" s="1">
        <v>66.7</v>
      </c>
      <c r="K28" s="1" t="s">
        <v>118</v>
      </c>
    </row>
    <row r="29">
      <c r="A29" s="1" t="s">
        <v>119</v>
      </c>
      <c r="B29" s="1" t="s">
        <v>12</v>
      </c>
      <c r="C29" s="1">
        <v>2025.0</v>
      </c>
      <c r="D29" s="2" t="s">
        <v>120</v>
      </c>
      <c r="E29" s="2" t="s">
        <v>66</v>
      </c>
      <c r="F29" s="1">
        <v>9.0</v>
      </c>
      <c r="G29" s="1">
        <v>7.0</v>
      </c>
      <c r="H29" s="1">
        <v>1.0</v>
      </c>
      <c r="I29" s="1">
        <v>66.7</v>
      </c>
      <c r="J29" s="1" t="s">
        <v>15</v>
      </c>
      <c r="K29" s="1" t="s">
        <v>121</v>
      </c>
    </row>
    <row r="30">
      <c r="A30" s="1" t="s">
        <v>122</v>
      </c>
      <c r="B30" s="1" t="s">
        <v>15</v>
      </c>
      <c r="C30" s="1" t="s">
        <v>15</v>
      </c>
      <c r="D30" s="2" t="s">
        <v>15</v>
      </c>
      <c r="E30" s="2" t="s">
        <v>15</v>
      </c>
      <c r="F30" s="4">
        <f t="shared" ref="F30:J30" si="1">AVERAGE(F2:F29)</f>
        <v>7.777777778</v>
      </c>
      <c r="G30" s="4">
        <f t="shared" si="1"/>
        <v>4.56</v>
      </c>
      <c r="H30" s="4">
        <f t="shared" si="1"/>
        <v>1.6</v>
      </c>
      <c r="I30" s="4">
        <f t="shared" si="1"/>
        <v>77.976</v>
      </c>
      <c r="J30" s="4">
        <f t="shared" si="1"/>
        <v>73.55</v>
      </c>
    </row>
    <row r="31">
      <c r="A31" s="1" t="s">
        <v>123</v>
      </c>
      <c r="B31" s="1" t="s">
        <v>15</v>
      </c>
      <c r="C31" s="1" t="s">
        <v>15</v>
      </c>
      <c r="D31" s="2" t="s">
        <v>15</v>
      </c>
      <c r="E31" s="2" t="s">
        <v>15</v>
      </c>
      <c r="F31" s="4">
        <f t="shared" ref="F31:J31" si="2">AVERAGE(F2:F6)</f>
        <v>3.4</v>
      </c>
      <c r="G31" s="4">
        <f t="shared" si="2"/>
        <v>2.6</v>
      </c>
      <c r="H31" s="4">
        <f t="shared" si="2"/>
        <v>2</v>
      </c>
      <c r="I31" s="4">
        <f t="shared" si="2"/>
        <v>100</v>
      </c>
      <c r="J31" s="4">
        <f t="shared" si="2"/>
        <v>50</v>
      </c>
    </row>
    <row r="32">
      <c r="A32" s="1" t="s">
        <v>124</v>
      </c>
      <c r="B32" s="1" t="s">
        <v>15</v>
      </c>
      <c r="C32" s="1" t="s">
        <v>15</v>
      </c>
      <c r="D32" s="2" t="s">
        <v>15</v>
      </c>
      <c r="E32" s="2" t="s">
        <v>15</v>
      </c>
      <c r="F32" s="4">
        <f t="shared" ref="F32:J32" si="3">AVERAGE(F7:F19)</f>
        <v>6.916666667</v>
      </c>
      <c r="G32" s="4">
        <f t="shared" si="3"/>
        <v>2.909090909</v>
      </c>
      <c r="H32" s="4">
        <f t="shared" si="3"/>
        <v>1.545454545</v>
      </c>
      <c r="I32" s="4">
        <f t="shared" si="3"/>
        <v>75.68181818</v>
      </c>
      <c r="J32" s="4">
        <f t="shared" si="3"/>
        <v>88.9</v>
      </c>
    </row>
    <row r="33">
      <c r="A33" s="1" t="s">
        <v>125</v>
      </c>
      <c r="B33" s="1" t="s">
        <v>15</v>
      </c>
      <c r="C33" s="1" t="s">
        <v>15</v>
      </c>
      <c r="D33" s="2" t="s">
        <v>15</v>
      </c>
      <c r="E33" s="2" t="s">
        <v>15</v>
      </c>
      <c r="F33" s="4">
        <f t="shared" ref="F33:J33" si="4">AVERAGE(F20:F29)</f>
        <v>11</v>
      </c>
      <c r="G33" s="4">
        <f t="shared" si="4"/>
        <v>7.666666667</v>
      </c>
      <c r="H33" s="4">
        <f t="shared" si="4"/>
        <v>1.444444444</v>
      </c>
      <c r="I33" s="4">
        <f t="shared" si="4"/>
        <v>68.54444444</v>
      </c>
      <c r="J33" s="4">
        <f t="shared" si="4"/>
        <v>62.3</v>
      </c>
    </row>
    <row r="34">
      <c r="D34" s="5"/>
      <c r="E34" s="5"/>
    </row>
  </sheetData>
  <autoFilter ref="$A$1:$K$33">
    <sortState ref="A1:K33">
      <sortCondition ref="C1:C33"/>
      <sortCondition ref="D1:D3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6" t="s">
        <v>126</v>
      </c>
      <c r="B1" s="6" t="s">
        <v>127</v>
      </c>
      <c r="C1" s="7" t="s">
        <v>128</v>
      </c>
      <c r="D1" s="6" t="s">
        <v>129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9" t="s">
        <v>130</v>
      </c>
      <c r="B2" s="10">
        <v>73.87</v>
      </c>
      <c r="C2" s="1">
        <v>200.0</v>
      </c>
      <c r="D2" s="9" t="s">
        <v>131</v>
      </c>
    </row>
    <row r="3">
      <c r="A3" s="9" t="s">
        <v>132</v>
      </c>
      <c r="B3" s="10">
        <v>97.13</v>
      </c>
      <c r="C3" s="1">
        <v>300.0</v>
      </c>
      <c r="D3" s="9" t="s">
        <v>133</v>
      </c>
    </row>
    <row r="4">
      <c r="A4" s="9" t="s">
        <v>134</v>
      </c>
      <c r="B4" s="10">
        <v>96.25</v>
      </c>
      <c r="C4" s="1">
        <v>250.0</v>
      </c>
      <c r="D4" s="9" t="s">
        <v>135</v>
      </c>
    </row>
    <row r="5">
      <c r="A5" s="9" t="s">
        <v>136</v>
      </c>
      <c r="B5" s="10">
        <v>76.36</v>
      </c>
      <c r="C5" s="1">
        <v>150.0</v>
      </c>
      <c r="D5" s="9" t="s">
        <v>137</v>
      </c>
    </row>
    <row r="6">
      <c r="A6" s="9" t="s">
        <v>138</v>
      </c>
      <c r="B6" s="10">
        <v>80.39</v>
      </c>
      <c r="C6" s="1">
        <v>300.0</v>
      </c>
      <c r="D6" s="9" t="s">
        <v>139</v>
      </c>
    </row>
    <row r="7">
      <c r="A7" s="9" t="s">
        <v>140</v>
      </c>
      <c r="B7" s="10">
        <v>96.55</v>
      </c>
      <c r="C7" s="1">
        <v>250.0</v>
      </c>
      <c r="D7" s="9" t="s">
        <v>141</v>
      </c>
    </row>
    <row r="8">
      <c r="A8" s="9" t="s">
        <v>142</v>
      </c>
      <c r="B8" s="10">
        <v>92.71</v>
      </c>
      <c r="C8" s="1">
        <v>150.0</v>
      </c>
      <c r="D8" s="9" t="s">
        <v>143</v>
      </c>
    </row>
    <row r="9">
      <c r="A9" s="9" t="s">
        <v>144</v>
      </c>
      <c r="B9" s="10">
        <v>58.33</v>
      </c>
      <c r="C9" s="1">
        <v>200.0</v>
      </c>
      <c r="D9" s="9" t="s">
        <v>145</v>
      </c>
    </row>
    <row r="10">
      <c r="A10" s="9" t="s">
        <v>146</v>
      </c>
      <c r="B10" s="11">
        <f t="shared" ref="B10:C10" si="1">AVERAGE(B2:B9)</f>
        <v>83.94875</v>
      </c>
      <c r="C10" s="12">
        <f t="shared" si="1"/>
        <v>225</v>
      </c>
      <c r="D10" s="1" t="s">
        <v>15</v>
      </c>
    </row>
    <row r="11">
      <c r="A11" s="13" t="s">
        <v>147</v>
      </c>
      <c r="B11" s="11">
        <f t="shared" ref="B11:C11" si="2">AVERAGE(B2:B8)</f>
        <v>87.60857143</v>
      </c>
      <c r="C11" s="12">
        <f t="shared" si="2"/>
        <v>228.5714286</v>
      </c>
      <c r="D11" s="14" t="s">
        <v>15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5" t="s">
        <v>148</v>
      </c>
      <c r="B12" s="11">
        <f t="shared" ref="B12:C12" si="3">AVERAGE(B3,B4,B6,B7,B8)</f>
        <v>92.606</v>
      </c>
      <c r="C12" s="12">
        <f t="shared" si="3"/>
        <v>250</v>
      </c>
      <c r="D12" s="14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0" t="s">
        <v>149</v>
      </c>
      <c r="B13" s="14">
        <f>B11-B10</f>
        <v>3.659821429</v>
      </c>
      <c r="C13" s="1" t="s">
        <v>15</v>
      </c>
      <c r="D13" s="1" t="s">
        <v>15</v>
      </c>
    </row>
    <row r="14">
      <c r="A14" s="1" t="s">
        <v>150</v>
      </c>
      <c r="B14" s="14">
        <f>B12-B10</f>
        <v>8.65725</v>
      </c>
      <c r="C14" s="1" t="s">
        <v>15</v>
      </c>
    </row>
  </sheetData>
  <drawing r:id="rId1"/>
</worksheet>
</file>